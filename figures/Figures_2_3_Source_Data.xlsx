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igure 2" sheetId="1" state="visible" r:id="rId1"/>
    <sheet xmlns:r="http://schemas.openxmlformats.org/officeDocument/2006/relationships" name="Figure 3" sheetId="2" state="visible" r:id="rId2"/>
    <sheet xmlns:r="http://schemas.openxmlformats.org/officeDocument/2006/relationships" name="Data 2" sheetId="3" state="visible" r:id="rId3"/>
    <sheet xmlns:r="http://schemas.openxmlformats.org/officeDocument/2006/relationships" name="Data 3" sheetId="4" state="visible" r:id="rId4"/>
  </sheets>
  <definedNames>
    <definedName name="_xlnm.Print_Area" localSheetId="0">'Figure 2'!$B$4:$V$23</definedName>
    <definedName name="_xlnm.Print_Area" localSheetId="1">'Figure 3'!$B$4:$V$23</definedName>
  </definedNames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rial"/>
      <color rgb="FF222222"/>
      <sz val="10"/>
    </font>
    <font>
      <name val="Arial"/>
      <b val="1"/>
      <color rgb="FF222222"/>
      <sz val="15"/>
    </font>
    <font>
      <name val="Arial"/>
      <b val="1"/>
      <color rgb="FF222222"/>
      <sz val="10"/>
    </font>
  </fonts>
  <fills count="3">
    <fill>
      <patternFill/>
    </fill>
    <fill>
      <patternFill patternType="gray125"/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0" fontId="1" fillId="0" borderId="0" pivotButton="0" quotePrefix="0" xfId="0"/>
    <xf numFmtId="2" fontId="1" fillId="0" borderId="0" pivotButton="0" quotePrefix="0" xfId="0"/>
    <xf numFmtId="3" fontId="1" fillId="0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2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3" fontId="1" fillId="0" borderId="0" applyAlignment="1" pivotButton="0" quotePrefix="0" xfId="0">
      <alignment wrapText="1"/>
    </xf>
    <xf numFmtId="2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0" fontId="1" fillId="0" borderId="0" pivotButton="0" quotePrefix="0" xfId="0"/>
    <xf numFmtId="3" fontId="1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2" fontId="1" fillId="0" borderId="0" applyAlignment="1" pivotButton="0" quotePrefix="0" xfId="0">
      <alignment vertical="center" wrapText="1"/>
    </xf>
    <xf numFmtId="10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350">
                <a:latin typeface="Arial"/>
                <a:ea typeface="Arial"/>
                <a:cs typeface="Arial"/>
              </a:rPr>
              <a:t>(a) Service-token ledger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350">
              <a:latin typeface="Arial"/>
              <a:ea typeface="Arial"/>
              <a:cs typeface="Arial"/>
            </a:defRPr>
          </a:pPr>
          <a:r>
            <a:t>None</a:t>
          </a:r>
        </a:p>
      </txPr>
    </title>
    <plotArea>
      <barChart>
        <barDir val="col"/>
        <grouping val="stacked"/>
        <varyColors val="0"/>
        <ser>
          <idx val="0"/>
          <order val="0"/>
          <tx>
            <v>JEV tokens (millions)</v>
          </tx>
          <spPr>
            <a:solidFill xmlns:a="http://schemas.openxmlformats.org/drawingml/2006/main">
              <a:srgbClr val="FFFFFF"/>
            </a:solidFill>
            <a:ln xmlns:a="http://schemas.openxmlformats.org/drawingml/2006/main" w="9525">
              <a:solidFill>
                <a:srgbClr val="222222"/>
              </a:solidFill>
              <a:prstDash val="solid"/>
            </a:ln>
          </spPr>
          <cat>
            <strRef>
              <f>'Data 2'!$B$26:$B$27</f>
              <strCache>
                <ptCount val="0"/>
              </strCache>
            </strRef>
          </cat>
          <val>
            <numRef>
              <f>'Data 2'!$C$26:$C$27</f>
              <numCache>
                <formatCode>0.00</formatCode>
                <ptCount val="0"/>
              </numCache>
            </numRef>
          </val>
        </ser>
        <ser>
          <idx val="1"/>
          <order val="1"/>
          <tx>
            <v>L2 tokens (millions)</v>
          </tx>
          <spPr>
            <a:solidFill xmlns:a="http://schemas.openxmlformats.org/drawingml/2006/main">
              <a:srgbClr val="D9D9D9"/>
            </a:solidFill>
            <a:ln xmlns:a="http://schemas.openxmlformats.org/drawingml/2006/main" w="9525">
              <a:solidFill>
                <a:srgbClr val="222222"/>
              </a:solidFill>
              <a:prstDash val="solid"/>
            </a:ln>
          </spPr>
          <cat>
            <strRef>
              <f>'Data 2'!$B$26:$B$27</f>
              <strCache>
                <ptCount val="0"/>
              </strCache>
            </strRef>
          </cat>
          <val>
            <numRef>
              <f>'Data 2'!$D$26:$D$27</f>
              <numCache>
                <formatCode>0.00</formatCode>
                <ptCount val="0"/>
              </numCache>
            </numRef>
          </val>
        </ser>
        <gapWidth val="85"/>
        <overlap val="10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0">
              <a:noFill/>
              <a:prstDash val="solid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25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  <max val="3"/>
          <min val="0"/>
        </scaling>
        <delete val="0"/>
        <axPos val="l"/>
        <majorGridlines>
          <spPr>
            <a:ln xmlns:a="http://schemas.openxmlformats.org/drawingml/2006/main" w="4763">
              <a:solidFill>
                <a:srgbClr val="D9D9D9"/>
              </a:solidFill>
              <a:prstDash val="solid"/>
            </a:ln>
          </spPr>
        </majorGridlines>
        <numFmt formatCode="0.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50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50112"/>
        <crossBetween val="between"/>
      </valAx>
    </plotArea>
    <legend>
      <legendPos val="b"/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  <a:r>
            <a:t>None</a:t>
          </a: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350">
                <a:latin typeface="Arial"/>
                <a:ea typeface="Arial"/>
                <a:cs typeface="Arial"/>
              </a:rPr>
              <a:t>(b) Agreement and 95% interval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350">
              <a:latin typeface="Arial"/>
              <a:ea typeface="Arial"/>
              <a:cs typeface="Arial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Estimate</v>
          </tx>
          <spPr>
            <a:solidFill xmlns:a="http://schemas.openxmlformats.org/drawingml/2006/main">
              <a:srgbClr val="222222"/>
            </a:solidFill>
            <a:ln xmlns:a="http://schemas.openxmlformats.org/drawingml/2006/main" w="9525">
              <a:solidFill>
                <a:srgbClr val="222222"/>
              </a:solidFill>
              <a:prstDash val="solid"/>
            </a:ln>
          </spPr>
          <cat>
            <strRef>
              <f>'Data 2'!$G$26:$G$28</f>
              <strCache>
                <ptCount val="0"/>
              </strCache>
            </strRef>
          </cat>
          <val>
            <numRef>
              <f>'Data 2'!$H$26:$H$28</f>
              <numCache>
                <formatCode>0.00%</formatCode>
                <ptCount val="0"/>
              </numCache>
            </numRef>
          </val>
        </ser>
        <ser>
          <idx val="1"/>
          <order val="1"/>
          <tx>
            <v>95% lower</v>
          </tx>
          <spPr>
            <a:solidFill xmlns:a="http://schemas.openxmlformats.org/drawingml/2006/main">
              <a:srgbClr val="D9D9D9"/>
            </a:solidFill>
            <a:ln xmlns:a="http://schemas.openxmlformats.org/drawingml/2006/main" w="9525">
              <a:solidFill>
                <a:srgbClr val="222222"/>
              </a:solidFill>
              <a:prstDash val="solid"/>
            </a:ln>
          </spPr>
          <cat>
            <strRef>
              <f>'Data 2'!$G$26:$G$28</f>
              <strCache>
                <ptCount val="0"/>
              </strCache>
            </strRef>
          </cat>
          <val>
            <numRef>
              <f>'Data 2'!$I$26:$I$28</f>
              <numCache>
                <formatCode>0.00%</formatCode>
                <ptCount val="0"/>
              </numCache>
            </numRef>
          </val>
        </ser>
        <ser>
          <idx val="2"/>
          <order val="2"/>
          <tx>
            <v>95% upper</v>
          </tx>
          <spPr>
            <a:solidFill xmlns:a="http://schemas.openxmlformats.org/drawingml/2006/main">
              <a:srgbClr val="FFFFFF"/>
            </a:solidFill>
            <a:ln xmlns:a="http://schemas.openxmlformats.org/drawingml/2006/main" w="9525">
              <a:solidFill>
                <a:srgbClr val="222222"/>
              </a:solidFill>
              <a:prstDash val="solid"/>
            </a:ln>
          </spPr>
          <cat>
            <strRef>
              <f>'Data 2'!$G$26:$G$28</f>
              <strCache>
                <ptCount val="0"/>
              </strCache>
            </strRef>
          </cat>
          <val>
            <numRef>
              <f>'Data 2'!$J$26:$J$28</f>
              <numCache>
                <formatCode>0.00%</formatCode>
                <ptCount val="0"/>
              </numCache>
            </numRef>
          </val>
        </ser>
        <gapWidth val="85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0">
              <a:noFill/>
              <a:prstDash val="solid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25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  <max val="1.02"/>
          <min val="0.88"/>
        </scaling>
        <delete val="0"/>
        <axPos val="l"/>
        <majorGridlines>
          <spPr>
            <a:ln xmlns:a="http://schemas.openxmlformats.org/drawingml/2006/main" w="4763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50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50112"/>
        <crossBetween val="between"/>
      </valAx>
    </plotArea>
    <legend>
      <legendPos val="b"/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  <a:r>
            <a:t>None</a:t>
          </a: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350">
                <a:latin typeface="Arial"/>
                <a:ea typeface="Arial"/>
                <a:cs typeface="Arial"/>
              </a:rPr>
              <a:t>(a) Reference agreement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350">
              <a:latin typeface="Arial"/>
              <a:ea typeface="Arial"/>
              <a:cs typeface="Arial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Agreement</v>
          </tx>
          <spPr>
            <a:solidFill xmlns:a="http://schemas.openxmlformats.org/drawingml/2006/main">
              <a:srgbClr val="222222"/>
            </a:solidFill>
            <a:ln xmlns:a="http://schemas.openxmlformats.org/drawingml/2006/main" w="9525">
              <a:solidFill>
                <a:srgbClr val="222222"/>
              </a:solidFill>
              <a:prstDash val="solid"/>
            </a:ln>
          </spPr>
          <cat>
            <strRef>
              <f>'Data 3'!$B$26:$B$28</f>
              <strCache>
                <ptCount val="0"/>
              </strCache>
            </strRef>
          </cat>
          <val>
            <numRef>
              <f>'Data 3'!$D$26:$D$28</f>
              <numCache>
                <formatCode>0.00%</formatCode>
                <ptCount val="0"/>
              </numCache>
            </numRef>
          </val>
        </ser>
        <gapWidth val="85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0">
              <a:noFill/>
              <a:prstDash val="solid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25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  <max val="1.1"/>
          <min val="0"/>
        </scaling>
        <delete val="0"/>
        <axPos val="l"/>
        <majorGridlines>
          <spPr>
            <a:ln xmlns:a="http://schemas.openxmlformats.org/drawingml/2006/main" w="4763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50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350">
                <a:latin typeface="Arial"/>
                <a:ea typeface="Arial"/>
                <a:cs typeface="Arial"/>
              </a:rPr>
              <a:t>(b) Token saving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350">
              <a:latin typeface="Arial"/>
              <a:ea typeface="Arial"/>
              <a:cs typeface="Arial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Token saving</v>
          </tx>
          <spPr>
            <a:solidFill xmlns:a="http://schemas.openxmlformats.org/drawingml/2006/main">
              <a:srgbClr val="222222"/>
            </a:solidFill>
            <a:ln xmlns:a="http://schemas.openxmlformats.org/drawingml/2006/main" w="9525">
              <a:solidFill>
                <a:srgbClr val="222222"/>
              </a:solidFill>
              <a:prstDash val="solid"/>
            </a:ln>
          </spPr>
          <cat>
            <strRef>
              <f>'Data 3'!$B$26:$B$28</f>
              <strCache>
                <ptCount val="0"/>
              </strCache>
            </strRef>
          </cat>
          <val>
            <numRef>
              <f>'Data 3'!$H$26:$H$28</f>
              <numCache>
                <formatCode>0.00%</formatCode>
                <ptCount val="0"/>
              </numCache>
            </numRef>
          </val>
        </ser>
        <gapWidth val="85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0">
              <a:noFill/>
              <a:prstDash val="solid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25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  <max val="1"/>
          <min val="-0.05"/>
        </scaling>
        <delete val="0"/>
        <axPos val="l"/>
        <majorGridlines>
          <spPr>
            <a:ln xmlns:a="http://schemas.openxmlformats.org/drawingml/2006/main" w="4763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50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350">
                <a:latin typeface="Arial"/>
                <a:ea typeface="Arial"/>
                <a:cs typeface="Arial"/>
              </a:rPr>
              <a:t>(c) L2 invocation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350">
              <a:latin typeface="Arial"/>
              <a:ea typeface="Arial"/>
              <a:cs typeface="Arial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L2 rate</v>
          </tx>
          <spPr>
            <a:solidFill xmlns:a="http://schemas.openxmlformats.org/drawingml/2006/main">
              <a:srgbClr val="222222"/>
            </a:solidFill>
            <a:ln xmlns:a="http://schemas.openxmlformats.org/drawingml/2006/main" w="9525">
              <a:solidFill>
                <a:srgbClr val="222222"/>
              </a:solidFill>
              <a:prstDash val="solid"/>
            </a:ln>
          </spPr>
          <cat>
            <strRef>
              <f>'Data 3'!$B$26:$B$28</f>
              <strCache>
                <ptCount val="0"/>
              </strCache>
            </strRef>
          </cat>
          <val>
            <numRef>
              <f>'Data 3'!$I$26:$I$28</f>
              <numCache>
                <formatCode>0.00%</formatCode>
                <ptCount val="0"/>
              </numCache>
            </numRef>
          </val>
        </ser>
        <gapWidth val="85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0">
              <a:noFill/>
              <a:prstDash val="solid"/>
            </a:ln>
          </spPr>
        </majorGridlines>
        <numFmt formatCode="General" sourceLinked="0"/>
        <majorTickMark val="none"/>
        <minorTickMark val="none"/>
        <tickLblPos val="nextTo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125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  <max val="1.1"/>
          <min val="0"/>
        </scaling>
        <delete val="0"/>
        <axPos val="l"/>
        <majorGridlines>
          <spPr>
            <a:ln xmlns:a="http://schemas.openxmlformats.org/drawingml/2006/main" w="4763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50">
                <a:latin typeface="Arial"/>
                <a:ea typeface="Arial"/>
                <a:cs typeface="Arial"/>
              </a:defRPr>
            </a:pPr>
            <a:r>
              <a:t>None</a:t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drawing1.xml><?xml version="1.0" encoding="utf-8"?>
<wsDr xmlns="http://schemas.openxmlformats.org/drawingml/2006/spreadsheetDrawing">
  <twoCellAnchor>
    <from>
      <col>1</col>
      <colOff>0</colOff>
      <row>3</row>
      <rowOff>0</rowOff>
    </from>
    <to>
      <col>11</col>
      <colOff>0</colOff>
      <row>23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0</colOff>
      <row>3</row>
      <rowOff>0</rowOff>
    </from>
    <to>
      <col>22</col>
      <colOff>0</colOff>
      <row>23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3</row>
      <rowOff>0</rowOff>
    </from>
    <to>
      <col>8</col>
      <colOff>0</colOff>
      <row>23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0</colOff>
      <row>3</row>
      <rowOff>0</rowOff>
    </from>
    <to>
      <col>15</col>
      <colOff>0</colOff>
      <row>23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15</col>
      <colOff>0</colOff>
      <row>3</row>
      <rowOff>0</rowOff>
    </from>
    <to>
      <col>22</col>
      <colOff>0</colOff>
      <row>23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</cols>
  <sheetData>
    <row r="1" ht="1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16" customHeight="1">
      <c r="A2" s="1" t="n"/>
      <c r="B2" s="2" t="inlineStr">
        <is>
          <t>Independent holdout: quality and resource use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</row>
    <row r="5" ht="1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</row>
    <row r="6" ht="16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</row>
    <row r="7" ht="16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</row>
    <row r="9" ht="16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</row>
    <row r="10" ht="16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</row>
    <row r="11" ht="16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</row>
    <row r="12" ht="16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</row>
    <row r="13" ht="16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</row>
    <row r="14" ht="16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</row>
    <row r="15" ht="16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</row>
    <row r="16" ht="16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</row>
    <row r="17" ht="16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</row>
    <row r="18" ht="16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</row>
    <row r="19" ht="16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</row>
    <row r="20" ht="16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</row>
    <row r="21" ht="16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</row>
    <row r="22" ht="16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</row>
    <row r="23" ht="16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</row>
    <row r="24" ht="16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</row>
    <row r="25" ht="55" customHeight="1">
      <c r="A25" s="1" t="n"/>
      <c r="B25" s="8" t="inlineStr">
        <is>
          <t>Editable values and formulas: Data 2</t>
        </is>
      </c>
      <c r="C25" s="8" t="n"/>
      <c r="D25" s="8" t="n"/>
      <c r="E25" s="8" t="n"/>
      <c r="F25" s="8" t="n"/>
      <c r="G25" s="8" t="n"/>
      <c r="H25" s="8" t="n"/>
      <c r="I25" s="8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</row>
    <row r="26" ht="55" customHeight="1">
      <c r="A26" s="1" t="n"/>
      <c r="B26" s="9" t="n"/>
      <c r="C26" s="13" t="n"/>
      <c r="D26" s="13" t="n"/>
      <c r="E26" s="9" t="n"/>
      <c r="F26" s="9" t="n"/>
      <c r="G26" s="9" t="n"/>
      <c r="H26" s="14" t="n"/>
      <c r="I26" s="14" t="n"/>
      <c r="J26" s="15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</row>
    <row r="27" ht="55" customHeight="1">
      <c r="A27" s="1" t="n"/>
      <c r="B27" s="9" t="n"/>
      <c r="C27" s="13" t="n"/>
      <c r="D27" s="13" t="n"/>
      <c r="E27" s="9" t="n"/>
      <c r="F27" s="9" t="n"/>
      <c r="G27" s="9" t="n"/>
      <c r="H27" s="14" t="n"/>
      <c r="I27" s="14" t="n"/>
      <c r="J27" s="15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</row>
    <row r="28" ht="55" customHeight="1">
      <c r="A28" s="1" t="n"/>
      <c r="B28" s="9" t="n"/>
      <c r="C28" s="9" t="n"/>
      <c r="D28" s="9" t="n"/>
      <c r="E28" s="9" t="n"/>
      <c r="F28" s="9" t="n"/>
      <c r="G28" s="9" t="n"/>
      <c r="H28" s="14" t="n"/>
      <c r="I28" s="14" t="n"/>
      <c r="J28" s="15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</row>
    <row r="29" ht="16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</row>
    <row r="30" ht="16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</row>
    <row r="31" ht="16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</row>
    <row r="32" ht="1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</row>
    <row r="33" ht="16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</row>
    <row r="34" ht="16" customHeight="1">
      <c r="A34" s="1" t="n"/>
      <c r="B34" s="1" t="n"/>
      <c r="C34" s="1" t="n"/>
      <c r="D34" s="1" t="n"/>
      <c r="E34" s="1" t="n"/>
      <c r="F34" s="1" t="n"/>
      <c r="G34" s="1" t="n"/>
      <c r="H34" s="15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6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6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</row>
    <row r="37" ht="16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</row>
    <row r="38" ht="16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</row>
    <row r="39" ht="16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</row>
    <row r="40" ht="16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</row>
    <row r="41" ht="16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</row>
    <row r="42" ht="16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</row>
    <row r="43" ht="16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</row>
    <row r="44" ht="16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</row>
    <row r="45" ht="16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</row>
  </sheetData>
  <printOptions horizontalCentered="1"/>
  <pageMargins left="0.12" right="0.12" top="0.12" bottom="0.12" header="0" footer="0"/>
  <pageSetup orientation="landscape" fitToHeight="1" fitToWidth="1" paperHeight="20in" paperWidth="5.8in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</cols>
  <sheetData>
    <row r="1" ht="16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16" customHeight="1">
      <c r="A2" s="1" t="n"/>
      <c r="B2" s="2" t="inlineStr">
        <is>
          <t>Independent holdout: cohort comparison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</row>
    <row r="5" ht="16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</row>
    <row r="6" ht="16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</row>
    <row r="7" ht="16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</row>
    <row r="9" ht="16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</row>
    <row r="10" ht="16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</row>
    <row r="11" ht="16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</row>
    <row r="12" ht="16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</row>
    <row r="13" ht="16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</row>
    <row r="14" ht="16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</row>
    <row r="15" ht="16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</row>
    <row r="16" ht="16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</row>
    <row r="17" ht="16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</row>
    <row r="18" ht="16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</row>
    <row r="19" ht="16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</row>
    <row r="20" ht="16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</row>
    <row r="21" ht="16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</row>
    <row r="22" ht="16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</row>
    <row r="23" ht="16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</row>
    <row r="24" ht="16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</row>
    <row r="25" ht="55" customHeight="1">
      <c r="A25" s="1" t="n"/>
      <c r="B25" s="8" t="inlineStr">
        <is>
          <t>Editable values and formulas: Data 3</t>
        </is>
      </c>
      <c r="C25" s="8" t="n"/>
      <c r="D25" s="8" t="n"/>
      <c r="E25" s="8" t="n"/>
      <c r="F25" s="8" t="n"/>
      <c r="G25" s="8" t="n"/>
      <c r="H25" s="8" t="n"/>
      <c r="I25" s="8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</row>
    <row r="26" ht="55" customHeight="1">
      <c r="A26" s="1" t="n"/>
      <c r="B26" s="9" t="n"/>
      <c r="C26" s="9" t="n"/>
      <c r="D26" s="14" t="n"/>
      <c r="E26" s="16" t="n"/>
      <c r="F26" s="16" t="n"/>
      <c r="G26" s="16" t="n"/>
      <c r="H26" s="14" t="n"/>
      <c r="I26" s="14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</row>
    <row r="27" ht="55" customHeight="1">
      <c r="A27" s="1" t="n"/>
      <c r="B27" s="9" t="n"/>
      <c r="C27" s="9" t="n"/>
      <c r="D27" s="14" t="n"/>
      <c r="E27" s="16" t="n"/>
      <c r="F27" s="16" t="n"/>
      <c r="G27" s="16" t="n"/>
      <c r="H27" s="14" t="n"/>
      <c r="I27" s="14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</row>
    <row r="28" ht="55" customHeight="1">
      <c r="A28" s="1" t="n"/>
      <c r="B28" s="9" t="n"/>
      <c r="C28" s="9" t="n"/>
      <c r="D28" s="14" t="n"/>
      <c r="E28" s="16" t="n"/>
      <c r="F28" s="16" t="n"/>
      <c r="G28" s="16" t="n"/>
      <c r="H28" s="14" t="n"/>
      <c r="I28" s="14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</row>
    <row r="29" ht="16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</row>
    <row r="30" ht="16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</row>
    <row r="31" ht="16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</row>
    <row r="32" ht="1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</row>
    <row r="33" ht="16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</row>
    <row r="34" ht="16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6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6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</row>
    <row r="37" ht="16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</row>
    <row r="38" ht="16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</row>
    <row r="39" ht="16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</row>
    <row r="40" ht="16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</row>
    <row r="41" ht="16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</row>
    <row r="42" ht="16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</row>
    <row r="43" ht="16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</row>
    <row r="44" ht="16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</row>
    <row r="45" ht="16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</row>
  </sheetData>
  <printOptions horizontalCentered="1"/>
  <pageMargins left="0.12" right="0.12" top="0.12" bottom="0.12" header="0" footer="0"/>
  <pageSetup orientation="landscape" fitToHeight="1" fitToWidth="1" paperHeight="20in" paperWidth="5.8in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5:J38"/>
  <sheetViews>
    <sheetView showGridLines="0" workbookViewId="0">
      <pane xSplit="2" ySplit="25" topLeftCell="C2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25" ht="32" customHeight="1">
      <c r="B25" s="17" t="inlineStr">
        <is>
          <t>Method</t>
        </is>
      </c>
      <c r="C25" s="17" t="inlineStr">
        <is>
          <t>JEV tokens (millions)</t>
        </is>
      </c>
      <c r="D25" s="17" t="inlineStr">
        <is>
          <t>L2 tokens (millions)</t>
        </is>
      </c>
      <c r="G25" s="17" t="inlineStr">
        <is>
          <t>Metric</t>
        </is>
      </c>
      <c r="H25" s="17" t="inlineStr">
        <is>
          <t>Estimate</t>
        </is>
      </c>
      <c r="I25" s="17" t="inlineStr">
        <is>
          <t>95% lower</t>
        </is>
      </c>
      <c r="J25" s="18" t="inlineStr">
        <is>
          <t>95% upper</t>
        </is>
      </c>
    </row>
    <row r="26" ht="32" customHeight="1">
      <c r="B26" s="18" t="inlineStr">
        <is>
          <t>Full L2</t>
        </is>
      </c>
      <c r="C26" s="19" t="n">
        <v>0</v>
      </c>
      <c r="D26" s="19" t="n">
        <v>2.750418</v>
      </c>
      <c r="G26" s="18" t="inlineStr">
        <is>
          <t>Agreement</t>
        </is>
      </c>
      <c r="H26" s="20" t="n">
        <v>0.9774509803921568</v>
      </c>
      <c r="I26" s="20" t="n">
        <v>0.9683116614151097</v>
      </c>
      <c r="J26" s="20" t="n">
        <v>0.9867211440245148</v>
      </c>
    </row>
    <row r="27" ht="32" customHeight="1">
      <c r="B27" s="18" t="inlineStr">
        <is>
          <t>Hybrid</t>
        </is>
      </c>
      <c r="C27" s="19" t="n">
        <v>0.147061</v>
      </c>
      <c r="D27" s="19" t="n">
        <v>0.7231919999999999</v>
      </c>
      <c r="G27" s="18" t="inlineStr">
        <is>
          <t>Balanced agreement</t>
        </is>
      </c>
      <c r="H27" s="20" t="n">
        <v>0.9647567120853064</v>
      </c>
      <c r="I27" s="20" t="n">
        <v>0.9348824046090382</v>
      </c>
      <c r="J27" s="20" t="n">
        <v>0.9824114586278184</v>
      </c>
    </row>
    <row r="28" ht="32" customHeight="1">
      <c r="G28" s="18" t="inlineStr">
        <is>
          <t>Macro-F1</t>
        </is>
      </c>
      <c r="H28" s="20" t="n">
        <v>0.9669720409742489</v>
      </c>
      <c r="I28" s="20" t="n">
        <v>0.9389991288953802</v>
      </c>
      <c r="J28" s="20" t="n">
        <v>0.9827630822315834</v>
      </c>
    </row>
    <row r="29" ht="32" customHeight="1"/>
    <row r="30" ht="32" customHeight="1"/>
    <row r="31" ht="32" customHeight="1">
      <c r="G31" s="18" t="inlineStr">
        <is>
          <t>Resource component</t>
        </is>
      </c>
      <c r="H31" s="18" t="inlineStr">
        <is>
          <t>Tokens</t>
        </is>
      </c>
    </row>
    <row r="32" ht="32" customHeight="1">
      <c r="G32" s="18" t="inlineStr">
        <is>
          <t>JEV</t>
        </is>
      </c>
      <c r="H32" s="18" t="n">
        <v>147061</v>
      </c>
    </row>
    <row r="33" ht="32" customHeight="1">
      <c r="G33" s="18" t="inlineStr">
        <is>
          <t>Selected L2</t>
        </is>
      </c>
      <c r="H33" s="18" t="n">
        <v>723192</v>
      </c>
    </row>
    <row r="34" ht="32" customHeight="1">
      <c r="G34" s="18" t="inlineStr">
        <is>
          <t>Token saving</t>
        </is>
      </c>
      <c r="H34" s="20">
        <f>1-(C27+D27)/D26</f>
        <v/>
      </c>
    </row>
    <row r="35" ht="32" customHeight="1"/>
    <row r="36" ht="32" customHeight="1"/>
    <row r="37" ht="32" customHeight="1">
      <c r="B37" s="18" t="inlineStr">
        <is>
          <t>Source: independent holdout, 1,020 records from 100 household clusters.</t>
        </is>
      </c>
    </row>
    <row r="38" ht="32" customHeight="1">
      <c r="B38" s="18" t="inlineStr">
        <is>
          <t>Full-reference agreement measures the shared semantic contract; it is not observed-choice accuracy.</t>
        </is>
      </c>
    </row>
    <row r="39" ht="32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5:I33"/>
  <sheetViews>
    <sheetView showGridLines="0" workbookViewId="0">
      <pane xSplit="2" ySplit="25" topLeftCell="C2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25" ht="32" customHeight="1">
      <c r="B25" s="17" t="inlineStr">
        <is>
          <t>Cohort</t>
        </is>
      </c>
      <c r="C25" s="17" t="inlineStr">
        <is>
          <t>Records</t>
        </is>
      </c>
      <c r="D25" s="17" t="inlineStr">
        <is>
          <t>Agreement</t>
        </is>
      </c>
      <c r="E25" s="17" t="inlineStr">
        <is>
          <t>Hybrid tokens</t>
        </is>
      </c>
      <c r="F25" s="17" t="inlineStr">
        <is>
          <t>Full-L2 tokens</t>
        </is>
      </c>
      <c r="G25" s="17" t="inlineStr">
        <is>
          <t>L2 calls</t>
        </is>
      </c>
      <c r="H25" s="17" t="inlineStr">
        <is>
          <t>Token saving</t>
        </is>
      </c>
      <c r="I25" s="17" t="inlineStr">
        <is>
          <t>L2 rate</t>
        </is>
      </c>
    </row>
    <row r="26" ht="32" customHeight="1">
      <c r="B26" s="18" t="inlineStr">
        <is>
          <t>Natural</t>
        </is>
      </c>
      <c r="C26" s="18" t="n">
        <v>400</v>
      </c>
      <c r="D26" s="20" t="n">
        <v>1</v>
      </c>
      <c r="E26" s="21" t="n">
        <v>118618</v>
      </c>
      <c r="F26" s="21" t="n">
        <v>1060615</v>
      </c>
      <c r="G26" s="21" t="n">
        <v>19</v>
      </c>
      <c r="H26" s="20">
        <f>1-E26/F26</f>
        <v/>
      </c>
      <c r="I26" s="20">
        <f>G26/C26</f>
        <v/>
      </c>
    </row>
    <row r="27" ht="32" customHeight="1">
      <c r="B27" s="18" t="inlineStr">
        <is>
          <t>Stress</t>
        </is>
      </c>
      <c r="C27" s="18" t="n">
        <v>420</v>
      </c>
      <c r="D27" s="20" t="n">
        <v>1</v>
      </c>
      <c r="E27" s="21" t="n">
        <v>171724</v>
      </c>
      <c r="F27" s="21" t="n">
        <v>1110033</v>
      </c>
      <c r="G27" s="21" t="n">
        <v>34</v>
      </c>
      <c r="H27" s="20">
        <f>1-E27/F27</f>
        <v/>
      </c>
      <c r="I27" s="20">
        <f>G27/C27</f>
        <v/>
      </c>
    </row>
    <row r="28" ht="32" customHeight="1">
      <c r="B28" s="18" t="inlineStr">
        <is>
          <t>Policy OOD</t>
        </is>
      </c>
      <c r="C28" s="18" t="n">
        <v>200</v>
      </c>
      <c r="D28" s="20" t="n">
        <v>0.885</v>
      </c>
      <c r="E28" s="21" t="n">
        <v>579911</v>
      </c>
      <c r="F28" s="21" t="n">
        <v>579770</v>
      </c>
      <c r="G28" s="21" t="n">
        <v>200</v>
      </c>
      <c r="H28" s="20">
        <f>1-E28/F28</f>
        <v/>
      </c>
      <c r="I28" s="20">
        <f>G28/C28</f>
        <v/>
      </c>
    </row>
    <row r="29" ht="32" customHeight="1"/>
    <row r="30" ht="32" customHeight="1"/>
    <row r="31" ht="32" customHeight="1"/>
    <row r="32" ht="32" customHeight="1">
      <c r="B32" s="18" t="inlineStr">
        <is>
          <t>Source: frozen independent holdout metrics; cohorts share household clusters.</t>
        </is>
      </c>
    </row>
    <row r="33" ht="32" customHeight="1">
      <c r="B33" s="18" t="inlineStr">
        <is>
          <t>Policy OOD token saving is -0.0243%; its rounded plotted value is -0.02%.</t>
        </is>
      </c>
    </row>
    <row r="34" ht="32" customHeight="1"/>
    <row r="35" ht="32" customHeight="1"/>
    <row r="36" ht="32" customHeight="1"/>
    <row r="37" ht="32" customHeight="1"/>
    <row r="38" ht="32" customHeight="1"/>
    <row r="39" ht="32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2026-10-09T08:45:40Z</dcterms:created>
  <dcterms:modified xmlns:dcterms="http://purl.org/dc/terms/" xmlns:xsi="http://www.w3.org/2001/XMLSchema-instance" xsi:type="dcterms:W3CDTF">2026-10-09T08:50:51Z</dcterms:modified>
</cp:coreProperties>
</file>